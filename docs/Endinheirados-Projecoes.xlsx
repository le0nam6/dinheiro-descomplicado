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Projeção Mensal" sheetId="2" state="visible" r:id="rId2"/>
    <sheet xmlns:r="http://schemas.openxmlformats.org/officeDocument/2006/relationships" name="Resumo An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R$ #,##0;-R$ #,##0;&quot;-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5803D"/>
      </patternFill>
    </fill>
    <fill>
      <patternFill patternType="solid">
        <fgColor rgb="00FFFF00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5" fillId="3" borderId="0" applyAlignment="1" pivotButton="0" quotePrefix="0" xfId="0">
      <alignment horizontal="center"/>
    </xf>
    <xf numFmtId="165" fontId="5" fillId="3" borderId="0" applyAlignment="1" pivotButton="0" quotePrefix="0" xfId="0">
      <alignment horizontal="center"/>
    </xf>
    <xf numFmtId="3" fontId="5" fillId="3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3" fontId="4" fillId="0" borderId="1" pivotButton="0" quotePrefix="0" xfId="0"/>
    <xf numFmtId="165" fontId="6" fillId="0" borderId="1" pivotButton="0" quotePrefix="0" xfId="0"/>
    <xf numFmtId="165" fontId="4" fillId="0" borderId="1" pivotButton="0" quotePrefix="0" xfId="0"/>
    <xf numFmtId="0" fontId="7" fillId="0" borderId="0" pivotButton="0" quotePrefix="0" xfId="0"/>
    <xf numFmtId="3" fontId="6" fillId="0" borderId="0" applyAlignment="1" pivotButton="0" quotePrefix="0" xfId="0">
      <alignment horizontal="center"/>
    </xf>
    <xf numFmtId="165" fontId="6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8" fillId="0" borderId="0" pivotButton="0" quotePrefix="0" xfId="0"/>
    <xf numFmtId="164" fontId="5" fillId="0" borderId="0" applyAlignment="1" pivotButton="0" quotePrefix="0" xfId="0">
      <alignment horizontal="center"/>
    </xf>
    <xf numFmtId="0" fontId="7" fillId="4" borderId="0" pivotButton="0" quotePrefix="0" xfId="0"/>
    <xf numFmtId="164" fontId="7" fillId="4" borderId="0" applyAlignment="1" pivotButton="0" quotePrefix="0" xfId="0">
      <alignment horizontal="center"/>
    </xf>
    <xf numFmtId="165" fontId="7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ENDINHEIRADOS — PREMISSAS DO MODELO</t>
        </is>
      </c>
    </row>
    <row r="2">
      <c r="A2" s="2" t="inlineStr">
        <is>
          <t>Células azuis = inputs editáveis · células amarelas = premissas-chave</t>
        </is>
      </c>
    </row>
    <row r="4">
      <c r="A4" s="3" t="inlineStr">
        <is>
          <t>Parâmetro</t>
        </is>
      </c>
      <c r="B4" s="3" t="inlineStr">
        <is>
          <t>Ano 1</t>
        </is>
      </c>
      <c r="C4" s="3" t="inlineStr">
        <is>
          <t>Ano 2</t>
        </is>
      </c>
      <c r="D4" s="3" t="inlineStr">
        <is>
          <t>Ano 3</t>
        </is>
      </c>
    </row>
    <row r="5">
      <c r="A5" s="4" t="inlineStr">
        <is>
          <t>Crescimento mensal de tráfego</t>
        </is>
      </c>
      <c r="B5" s="5" t="n">
        <v>0.42</v>
      </c>
      <c r="C5" s="5" t="n">
        <v>0.18</v>
      </c>
      <c r="D5" s="5" t="n">
        <v>0.09</v>
      </c>
    </row>
    <row r="6">
      <c r="A6" s="4" t="inlineStr">
        <is>
          <t>RPM blended — display + afiliação (R$/1.000 visitas)</t>
        </is>
      </c>
      <c r="B6" s="6" t="n">
        <v>35</v>
      </c>
      <c r="C6" s="6" t="n">
        <v>60</v>
      </c>
      <c r="D6" s="6" t="n">
        <v>95</v>
      </c>
    </row>
    <row r="7">
      <c r="A7" s="4" t="inlineStr">
        <is>
          <t>Custo de IA + infraestrutura (R$/mês)</t>
        </is>
      </c>
      <c r="B7" s="6" t="n">
        <v>800</v>
      </c>
      <c r="C7" s="6" t="n">
        <v>2000</v>
      </c>
      <c r="D7" s="6" t="n">
        <v>5000</v>
      </c>
    </row>
    <row r="9">
      <c r="A9" s="4" t="inlineStr">
        <is>
          <t>Visitas no mês inicial (jun/2026)</t>
        </is>
      </c>
      <c r="B9" s="7" t="n">
        <v>500</v>
      </c>
      <c r="C9" s="2" t="inlineStr">
        <is>
          <t>≈125 usuários no GA nos primeiros dias</t>
        </is>
      </c>
    </row>
    <row r="11">
      <c r="A11" s="4" t="inlineStr">
        <is>
          <t>Captação (R$)</t>
        </is>
      </c>
      <c r="B11" s="6" t="n">
        <v>750000</v>
      </c>
    </row>
  </sheetData>
  <mergeCells count="3">
    <mergeCell ref="A1:D1"/>
    <mergeCell ref="A2:D2"/>
    <mergeCell ref="C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PROJEÇÃO MENSAL — 36 MESES</t>
        </is>
      </c>
    </row>
    <row r="3">
      <c r="A3" s="3" t="inlineStr">
        <is>
          <t>Mês</t>
        </is>
      </c>
      <c r="B3" s="3" t="inlineStr">
        <is>
          <t>Ano</t>
        </is>
      </c>
      <c r="C3" s="3" t="inlineStr">
        <is>
          <t>Visitas/mês</t>
        </is>
      </c>
      <c r="D3" s="3" t="inlineStr">
        <is>
          <t>RPM (R$/1k)</t>
        </is>
      </c>
      <c r="E3" s="3" t="inlineStr">
        <is>
          <t>Receita (R$)</t>
        </is>
      </c>
      <c r="F3" s="3" t="inlineStr">
        <is>
          <t>Custo op. (R$)</t>
        </is>
      </c>
    </row>
    <row r="4">
      <c r="A4" s="8" t="n">
        <v>1</v>
      </c>
      <c r="B4" s="8" t="inlineStr">
        <is>
          <t>Ano 1</t>
        </is>
      </c>
      <c r="C4" s="9">
        <f>Premissas!$B$9*(1+Premissas!$B$5)</f>
        <v/>
      </c>
      <c r="D4" s="10">
        <f>Premissas!$B$6</f>
        <v/>
      </c>
      <c r="E4" s="11">
        <f>C4/1000*D4</f>
        <v/>
      </c>
      <c r="F4" s="10">
        <f>Premissas!$B$7</f>
        <v/>
      </c>
    </row>
    <row r="5">
      <c r="A5" s="8" t="n">
        <v>2</v>
      </c>
      <c r="B5" s="8" t="inlineStr">
        <is>
          <t>Ano 1</t>
        </is>
      </c>
      <c r="C5" s="9">
        <f>C4*(1+Premissas!$B$5)</f>
        <v/>
      </c>
      <c r="D5" s="10">
        <f>Premissas!$B$6</f>
        <v/>
      </c>
      <c r="E5" s="11">
        <f>C5/1000*D5</f>
        <v/>
      </c>
      <c r="F5" s="10">
        <f>Premissas!$B$7</f>
        <v/>
      </c>
    </row>
    <row r="6">
      <c r="A6" s="8" t="n">
        <v>3</v>
      </c>
      <c r="B6" s="8" t="inlineStr">
        <is>
          <t>Ano 1</t>
        </is>
      </c>
      <c r="C6" s="9">
        <f>C5*(1+Premissas!$B$5)</f>
        <v/>
      </c>
      <c r="D6" s="10">
        <f>Premissas!$B$6</f>
        <v/>
      </c>
      <c r="E6" s="11">
        <f>C6/1000*D6</f>
        <v/>
      </c>
      <c r="F6" s="10">
        <f>Premissas!$B$7</f>
        <v/>
      </c>
    </row>
    <row r="7">
      <c r="A7" s="8" t="n">
        <v>4</v>
      </c>
      <c r="B7" s="8" t="inlineStr">
        <is>
          <t>Ano 1</t>
        </is>
      </c>
      <c r="C7" s="9">
        <f>C6*(1+Premissas!$B$5)</f>
        <v/>
      </c>
      <c r="D7" s="10">
        <f>Premissas!$B$6</f>
        <v/>
      </c>
      <c r="E7" s="11">
        <f>C7/1000*D7</f>
        <v/>
      </c>
      <c r="F7" s="10">
        <f>Premissas!$B$7</f>
        <v/>
      </c>
    </row>
    <row r="8">
      <c r="A8" s="8" t="n">
        <v>5</v>
      </c>
      <c r="B8" s="8" t="inlineStr">
        <is>
          <t>Ano 1</t>
        </is>
      </c>
      <c r="C8" s="9">
        <f>C7*(1+Premissas!$B$5)</f>
        <v/>
      </c>
      <c r="D8" s="10">
        <f>Premissas!$B$6</f>
        <v/>
      </c>
      <c r="E8" s="11">
        <f>C8/1000*D8</f>
        <v/>
      </c>
      <c r="F8" s="10">
        <f>Premissas!$B$7</f>
        <v/>
      </c>
    </row>
    <row r="9">
      <c r="A9" s="8" t="n">
        <v>6</v>
      </c>
      <c r="B9" s="8" t="inlineStr">
        <is>
          <t>Ano 1</t>
        </is>
      </c>
      <c r="C9" s="9">
        <f>C8*(1+Premissas!$B$5)</f>
        <v/>
      </c>
      <c r="D9" s="10">
        <f>Premissas!$B$6</f>
        <v/>
      </c>
      <c r="E9" s="11">
        <f>C9/1000*D9</f>
        <v/>
      </c>
      <c r="F9" s="10">
        <f>Premissas!$B$7</f>
        <v/>
      </c>
    </row>
    <row r="10">
      <c r="A10" s="8" t="n">
        <v>7</v>
      </c>
      <c r="B10" s="8" t="inlineStr">
        <is>
          <t>Ano 1</t>
        </is>
      </c>
      <c r="C10" s="9">
        <f>C9*(1+Premissas!$B$5)</f>
        <v/>
      </c>
      <c r="D10" s="10">
        <f>Premissas!$B$6</f>
        <v/>
      </c>
      <c r="E10" s="11">
        <f>C10/1000*D10</f>
        <v/>
      </c>
      <c r="F10" s="10">
        <f>Premissas!$B$7</f>
        <v/>
      </c>
    </row>
    <row r="11">
      <c r="A11" s="8" t="n">
        <v>8</v>
      </c>
      <c r="B11" s="8" t="inlineStr">
        <is>
          <t>Ano 1</t>
        </is>
      </c>
      <c r="C11" s="9">
        <f>C10*(1+Premissas!$B$5)</f>
        <v/>
      </c>
      <c r="D11" s="10">
        <f>Premissas!$B$6</f>
        <v/>
      </c>
      <c r="E11" s="11">
        <f>C11/1000*D11</f>
        <v/>
      </c>
      <c r="F11" s="10">
        <f>Premissas!$B$7</f>
        <v/>
      </c>
    </row>
    <row r="12">
      <c r="A12" s="8" t="n">
        <v>9</v>
      </c>
      <c r="B12" s="8" t="inlineStr">
        <is>
          <t>Ano 1</t>
        </is>
      </c>
      <c r="C12" s="9">
        <f>C11*(1+Premissas!$B$5)</f>
        <v/>
      </c>
      <c r="D12" s="10">
        <f>Premissas!$B$6</f>
        <v/>
      </c>
      <c r="E12" s="11">
        <f>C12/1000*D12</f>
        <v/>
      </c>
      <c r="F12" s="10">
        <f>Premissas!$B$7</f>
        <v/>
      </c>
    </row>
    <row r="13">
      <c r="A13" s="8" t="n">
        <v>10</v>
      </c>
      <c r="B13" s="8" t="inlineStr">
        <is>
          <t>Ano 1</t>
        </is>
      </c>
      <c r="C13" s="9">
        <f>C12*(1+Premissas!$B$5)</f>
        <v/>
      </c>
      <c r="D13" s="10">
        <f>Premissas!$B$6</f>
        <v/>
      </c>
      <c r="E13" s="11">
        <f>C13/1000*D13</f>
        <v/>
      </c>
      <c r="F13" s="10">
        <f>Premissas!$B$7</f>
        <v/>
      </c>
    </row>
    <row r="14">
      <c r="A14" s="8" t="n">
        <v>11</v>
      </c>
      <c r="B14" s="8" t="inlineStr">
        <is>
          <t>Ano 1</t>
        </is>
      </c>
      <c r="C14" s="9">
        <f>C13*(1+Premissas!$B$5)</f>
        <v/>
      </c>
      <c r="D14" s="10">
        <f>Premissas!$B$6</f>
        <v/>
      </c>
      <c r="E14" s="11">
        <f>C14/1000*D14</f>
        <v/>
      </c>
      <c r="F14" s="10">
        <f>Premissas!$B$7</f>
        <v/>
      </c>
    </row>
    <row r="15">
      <c r="A15" s="8" t="n">
        <v>12</v>
      </c>
      <c r="B15" s="8" t="inlineStr">
        <is>
          <t>Ano 1</t>
        </is>
      </c>
      <c r="C15" s="9">
        <f>C14*(1+Premissas!$B$5)</f>
        <v/>
      </c>
      <c r="D15" s="10">
        <f>Premissas!$B$6</f>
        <v/>
      </c>
      <c r="E15" s="11">
        <f>C15/1000*D15</f>
        <v/>
      </c>
      <c r="F15" s="10">
        <f>Premissas!$B$7</f>
        <v/>
      </c>
    </row>
    <row r="16">
      <c r="A16" s="8" t="n">
        <v>13</v>
      </c>
      <c r="B16" s="8" t="inlineStr">
        <is>
          <t>Ano 2</t>
        </is>
      </c>
      <c r="C16" s="9">
        <f>C15*(1+Premissas!$C$5)</f>
        <v/>
      </c>
      <c r="D16" s="10">
        <f>Premissas!$C$6</f>
        <v/>
      </c>
      <c r="E16" s="11">
        <f>C16/1000*D16</f>
        <v/>
      </c>
      <c r="F16" s="10">
        <f>Premissas!$C$7</f>
        <v/>
      </c>
    </row>
    <row r="17">
      <c r="A17" s="8" t="n">
        <v>14</v>
      </c>
      <c r="B17" s="8" t="inlineStr">
        <is>
          <t>Ano 2</t>
        </is>
      </c>
      <c r="C17" s="9">
        <f>C16*(1+Premissas!$C$5)</f>
        <v/>
      </c>
      <c r="D17" s="10">
        <f>Premissas!$C$6</f>
        <v/>
      </c>
      <c r="E17" s="11">
        <f>C17/1000*D17</f>
        <v/>
      </c>
      <c r="F17" s="10">
        <f>Premissas!$C$7</f>
        <v/>
      </c>
    </row>
    <row r="18">
      <c r="A18" s="8" t="n">
        <v>15</v>
      </c>
      <c r="B18" s="8" t="inlineStr">
        <is>
          <t>Ano 2</t>
        </is>
      </c>
      <c r="C18" s="9">
        <f>C17*(1+Premissas!$C$5)</f>
        <v/>
      </c>
      <c r="D18" s="10">
        <f>Premissas!$C$6</f>
        <v/>
      </c>
      <c r="E18" s="11">
        <f>C18/1000*D18</f>
        <v/>
      </c>
      <c r="F18" s="10">
        <f>Premissas!$C$7</f>
        <v/>
      </c>
    </row>
    <row r="19">
      <c r="A19" s="8" t="n">
        <v>16</v>
      </c>
      <c r="B19" s="8" t="inlineStr">
        <is>
          <t>Ano 2</t>
        </is>
      </c>
      <c r="C19" s="9">
        <f>C18*(1+Premissas!$C$5)</f>
        <v/>
      </c>
      <c r="D19" s="10">
        <f>Premissas!$C$6</f>
        <v/>
      </c>
      <c r="E19" s="11">
        <f>C19/1000*D19</f>
        <v/>
      </c>
      <c r="F19" s="10">
        <f>Premissas!$C$7</f>
        <v/>
      </c>
    </row>
    <row r="20">
      <c r="A20" s="8" t="n">
        <v>17</v>
      </c>
      <c r="B20" s="8" t="inlineStr">
        <is>
          <t>Ano 2</t>
        </is>
      </c>
      <c r="C20" s="9">
        <f>C19*(1+Premissas!$C$5)</f>
        <v/>
      </c>
      <c r="D20" s="10">
        <f>Premissas!$C$6</f>
        <v/>
      </c>
      <c r="E20" s="11">
        <f>C20/1000*D20</f>
        <v/>
      </c>
      <c r="F20" s="10">
        <f>Premissas!$C$7</f>
        <v/>
      </c>
    </row>
    <row r="21">
      <c r="A21" s="8" t="n">
        <v>18</v>
      </c>
      <c r="B21" s="8" t="inlineStr">
        <is>
          <t>Ano 2</t>
        </is>
      </c>
      <c r="C21" s="9">
        <f>C20*(1+Premissas!$C$5)</f>
        <v/>
      </c>
      <c r="D21" s="10">
        <f>Premissas!$C$6</f>
        <v/>
      </c>
      <c r="E21" s="11">
        <f>C21/1000*D21</f>
        <v/>
      </c>
      <c r="F21" s="10">
        <f>Premissas!$C$7</f>
        <v/>
      </c>
    </row>
    <row r="22">
      <c r="A22" s="8" t="n">
        <v>19</v>
      </c>
      <c r="B22" s="8" t="inlineStr">
        <is>
          <t>Ano 2</t>
        </is>
      </c>
      <c r="C22" s="9">
        <f>C21*(1+Premissas!$C$5)</f>
        <v/>
      </c>
      <c r="D22" s="10">
        <f>Premissas!$C$6</f>
        <v/>
      </c>
      <c r="E22" s="11">
        <f>C22/1000*D22</f>
        <v/>
      </c>
      <c r="F22" s="10">
        <f>Premissas!$C$7</f>
        <v/>
      </c>
    </row>
    <row r="23">
      <c r="A23" s="8" t="n">
        <v>20</v>
      </c>
      <c r="B23" s="8" t="inlineStr">
        <is>
          <t>Ano 2</t>
        </is>
      </c>
      <c r="C23" s="9">
        <f>C22*(1+Premissas!$C$5)</f>
        <v/>
      </c>
      <c r="D23" s="10">
        <f>Premissas!$C$6</f>
        <v/>
      </c>
      <c r="E23" s="11">
        <f>C23/1000*D23</f>
        <v/>
      </c>
      <c r="F23" s="10">
        <f>Premissas!$C$7</f>
        <v/>
      </c>
    </row>
    <row r="24">
      <c r="A24" s="8" t="n">
        <v>21</v>
      </c>
      <c r="B24" s="8" t="inlineStr">
        <is>
          <t>Ano 2</t>
        </is>
      </c>
      <c r="C24" s="9">
        <f>C23*(1+Premissas!$C$5)</f>
        <v/>
      </c>
      <c r="D24" s="10">
        <f>Premissas!$C$6</f>
        <v/>
      </c>
      <c r="E24" s="11">
        <f>C24/1000*D24</f>
        <v/>
      </c>
      <c r="F24" s="10">
        <f>Premissas!$C$7</f>
        <v/>
      </c>
    </row>
    <row r="25">
      <c r="A25" s="8" t="n">
        <v>22</v>
      </c>
      <c r="B25" s="8" t="inlineStr">
        <is>
          <t>Ano 2</t>
        </is>
      </c>
      <c r="C25" s="9">
        <f>C24*(1+Premissas!$C$5)</f>
        <v/>
      </c>
      <c r="D25" s="10">
        <f>Premissas!$C$6</f>
        <v/>
      </c>
      <c r="E25" s="11">
        <f>C25/1000*D25</f>
        <v/>
      </c>
      <c r="F25" s="10">
        <f>Premissas!$C$7</f>
        <v/>
      </c>
    </row>
    <row r="26">
      <c r="A26" s="8" t="n">
        <v>23</v>
      </c>
      <c r="B26" s="8" t="inlineStr">
        <is>
          <t>Ano 2</t>
        </is>
      </c>
      <c r="C26" s="9">
        <f>C25*(1+Premissas!$C$5)</f>
        <v/>
      </c>
      <c r="D26" s="10">
        <f>Premissas!$C$6</f>
        <v/>
      </c>
      <c r="E26" s="11">
        <f>C26/1000*D26</f>
        <v/>
      </c>
      <c r="F26" s="10">
        <f>Premissas!$C$7</f>
        <v/>
      </c>
    </row>
    <row r="27">
      <c r="A27" s="8" t="n">
        <v>24</v>
      </c>
      <c r="B27" s="8" t="inlineStr">
        <is>
          <t>Ano 2</t>
        </is>
      </c>
      <c r="C27" s="9">
        <f>C26*(1+Premissas!$C$5)</f>
        <v/>
      </c>
      <c r="D27" s="10">
        <f>Premissas!$C$6</f>
        <v/>
      </c>
      <c r="E27" s="11">
        <f>C27/1000*D27</f>
        <v/>
      </c>
      <c r="F27" s="10">
        <f>Premissas!$C$7</f>
        <v/>
      </c>
    </row>
    <row r="28">
      <c r="A28" s="8" t="n">
        <v>25</v>
      </c>
      <c r="B28" s="8" t="inlineStr">
        <is>
          <t>Ano 3</t>
        </is>
      </c>
      <c r="C28" s="9">
        <f>C27*(1+Premissas!$D$5)</f>
        <v/>
      </c>
      <c r="D28" s="10">
        <f>Premissas!$D$6</f>
        <v/>
      </c>
      <c r="E28" s="11">
        <f>C28/1000*D28</f>
        <v/>
      </c>
      <c r="F28" s="10">
        <f>Premissas!$D$7</f>
        <v/>
      </c>
    </row>
    <row r="29">
      <c r="A29" s="8" t="n">
        <v>26</v>
      </c>
      <c r="B29" s="8" t="inlineStr">
        <is>
          <t>Ano 3</t>
        </is>
      </c>
      <c r="C29" s="9">
        <f>C28*(1+Premissas!$D$5)</f>
        <v/>
      </c>
      <c r="D29" s="10">
        <f>Premissas!$D$6</f>
        <v/>
      </c>
      <c r="E29" s="11">
        <f>C29/1000*D29</f>
        <v/>
      </c>
      <c r="F29" s="10">
        <f>Premissas!$D$7</f>
        <v/>
      </c>
    </row>
    <row r="30">
      <c r="A30" s="8" t="n">
        <v>27</v>
      </c>
      <c r="B30" s="8" t="inlineStr">
        <is>
          <t>Ano 3</t>
        </is>
      </c>
      <c r="C30" s="9">
        <f>C29*(1+Premissas!$D$5)</f>
        <v/>
      </c>
      <c r="D30" s="10">
        <f>Premissas!$D$6</f>
        <v/>
      </c>
      <c r="E30" s="11">
        <f>C30/1000*D30</f>
        <v/>
      </c>
      <c r="F30" s="10">
        <f>Premissas!$D$7</f>
        <v/>
      </c>
    </row>
    <row r="31">
      <c r="A31" s="8" t="n">
        <v>28</v>
      </c>
      <c r="B31" s="8" t="inlineStr">
        <is>
          <t>Ano 3</t>
        </is>
      </c>
      <c r="C31" s="9">
        <f>C30*(1+Premissas!$D$5)</f>
        <v/>
      </c>
      <c r="D31" s="10">
        <f>Premissas!$D$6</f>
        <v/>
      </c>
      <c r="E31" s="11">
        <f>C31/1000*D31</f>
        <v/>
      </c>
      <c r="F31" s="10">
        <f>Premissas!$D$7</f>
        <v/>
      </c>
    </row>
    <row r="32">
      <c r="A32" s="8" t="n">
        <v>29</v>
      </c>
      <c r="B32" s="8" t="inlineStr">
        <is>
          <t>Ano 3</t>
        </is>
      </c>
      <c r="C32" s="9">
        <f>C31*(1+Premissas!$D$5)</f>
        <v/>
      </c>
      <c r="D32" s="10">
        <f>Premissas!$D$6</f>
        <v/>
      </c>
      <c r="E32" s="11">
        <f>C32/1000*D32</f>
        <v/>
      </c>
      <c r="F32" s="10">
        <f>Premissas!$D$7</f>
        <v/>
      </c>
    </row>
    <row r="33">
      <c r="A33" s="8" t="n">
        <v>30</v>
      </c>
      <c r="B33" s="8" t="inlineStr">
        <is>
          <t>Ano 3</t>
        </is>
      </c>
      <c r="C33" s="9">
        <f>C32*(1+Premissas!$D$5)</f>
        <v/>
      </c>
      <c r="D33" s="10">
        <f>Premissas!$D$6</f>
        <v/>
      </c>
      <c r="E33" s="11">
        <f>C33/1000*D33</f>
        <v/>
      </c>
      <c r="F33" s="10">
        <f>Premissas!$D$7</f>
        <v/>
      </c>
    </row>
    <row r="34">
      <c r="A34" s="8" t="n">
        <v>31</v>
      </c>
      <c r="B34" s="8" t="inlineStr">
        <is>
          <t>Ano 3</t>
        </is>
      </c>
      <c r="C34" s="9">
        <f>C33*(1+Premissas!$D$5)</f>
        <v/>
      </c>
      <c r="D34" s="10">
        <f>Premissas!$D$6</f>
        <v/>
      </c>
      <c r="E34" s="11">
        <f>C34/1000*D34</f>
        <v/>
      </c>
      <c r="F34" s="10">
        <f>Premissas!$D$7</f>
        <v/>
      </c>
    </row>
    <row r="35">
      <c r="A35" s="8" t="n">
        <v>32</v>
      </c>
      <c r="B35" s="8" t="inlineStr">
        <is>
          <t>Ano 3</t>
        </is>
      </c>
      <c r="C35" s="9">
        <f>C34*(1+Premissas!$D$5)</f>
        <v/>
      </c>
      <c r="D35" s="10">
        <f>Premissas!$D$6</f>
        <v/>
      </c>
      <c r="E35" s="11">
        <f>C35/1000*D35</f>
        <v/>
      </c>
      <c r="F35" s="10">
        <f>Premissas!$D$7</f>
        <v/>
      </c>
    </row>
    <row r="36">
      <c r="A36" s="8" t="n">
        <v>33</v>
      </c>
      <c r="B36" s="8" t="inlineStr">
        <is>
          <t>Ano 3</t>
        </is>
      </c>
      <c r="C36" s="9">
        <f>C35*(1+Premissas!$D$5)</f>
        <v/>
      </c>
      <c r="D36" s="10">
        <f>Premissas!$D$6</f>
        <v/>
      </c>
      <c r="E36" s="11">
        <f>C36/1000*D36</f>
        <v/>
      </c>
      <c r="F36" s="10">
        <f>Premissas!$D$7</f>
        <v/>
      </c>
    </row>
    <row r="37">
      <c r="A37" s="8" t="n">
        <v>34</v>
      </c>
      <c r="B37" s="8" t="inlineStr">
        <is>
          <t>Ano 3</t>
        </is>
      </c>
      <c r="C37" s="9">
        <f>C36*(1+Premissas!$D$5)</f>
        <v/>
      </c>
      <c r="D37" s="10">
        <f>Premissas!$D$6</f>
        <v/>
      </c>
      <c r="E37" s="11">
        <f>C37/1000*D37</f>
        <v/>
      </c>
      <c r="F37" s="10">
        <f>Premissas!$D$7</f>
        <v/>
      </c>
    </row>
    <row r="38">
      <c r="A38" s="8" t="n">
        <v>35</v>
      </c>
      <c r="B38" s="8" t="inlineStr">
        <is>
          <t>Ano 3</t>
        </is>
      </c>
      <c r="C38" s="9">
        <f>C37*(1+Premissas!$D$5)</f>
        <v/>
      </c>
      <c r="D38" s="10">
        <f>Premissas!$D$6</f>
        <v/>
      </c>
      <c r="E38" s="11">
        <f>C38/1000*D38</f>
        <v/>
      </c>
      <c r="F38" s="10">
        <f>Premissas!$D$7</f>
        <v/>
      </c>
    </row>
    <row r="39">
      <c r="A39" s="8" t="n">
        <v>36</v>
      </c>
      <c r="B39" s="8" t="inlineStr">
        <is>
          <t>Ano 3</t>
        </is>
      </c>
      <c r="C39" s="9">
        <f>C38*(1+Premissas!$D$5)</f>
        <v/>
      </c>
      <c r="D39" s="10">
        <f>Premissas!$D$6</f>
        <v/>
      </c>
      <c r="E39" s="11">
        <f>C39/1000*D39</f>
        <v/>
      </c>
      <c r="F39" s="10">
        <f>Premissas!$D$7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RESUMO ANUAL</t>
        </is>
      </c>
    </row>
    <row r="3">
      <c r="A3" s="3" t="inlineStr">
        <is>
          <t>Indicador</t>
        </is>
      </c>
      <c r="B3" s="3" t="inlineStr">
        <is>
          <t>Ano 1</t>
        </is>
      </c>
      <c r="C3" s="3" t="inlineStr">
        <is>
          <t>Ano 2</t>
        </is>
      </c>
      <c r="D3" s="3" t="inlineStr">
        <is>
          <t>Ano 3</t>
        </is>
      </c>
    </row>
    <row r="4">
      <c r="A4" s="12" t="inlineStr">
        <is>
          <t>Visitas/mês (saída do ano)</t>
        </is>
      </c>
      <c r="B4" s="13">
        <f>'Projeção Mensal'!C15</f>
        <v/>
      </c>
      <c r="C4" s="13">
        <f>'Projeção Mensal'!C27</f>
        <v/>
      </c>
      <c r="D4" s="13">
        <f>'Projeção Mensal'!C39</f>
        <v/>
      </c>
    </row>
    <row r="5">
      <c r="A5" s="12" t="inlineStr">
        <is>
          <t>Receita anual</t>
        </is>
      </c>
      <c r="B5" s="14">
        <f>SUM('Projeção Mensal'!E4:E15)</f>
        <v/>
      </c>
      <c r="C5" s="14">
        <f>SUM('Projeção Mensal'!E16:E27)</f>
        <v/>
      </c>
      <c r="D5" s="14">
        <f>SUM('Projeção Mensal'!E28:E39)</f>
        <v/>
      </c>
    </row>
    <row r="6">
      <c r="A6" s="12" t="inlineStr">
        <is>
          <t>Custo operacional anual</t>
        </is>
      </c>
      <c r="B6" s="14">
        <f>SUM('Projeção Mensal'!F4:F15)</f>
        <v/>
      </c>
      <c r="C6" s="14">
        <f>SUM('Projeção Mensal'!F16:F27)</f>
        <v/>
      </c>
      <c r="D6" s="14">
        <f>SUM('Projeção Mensal'!F28:F39)</f>
        <v/>
      </c>
    </row>
    <row r="7">
      <c r="A7" s="12" t="inlineStr">
        <is>
          <t>Margem de contribuição (R$)</t>
        </is>
      </c>
      <c r="B7" s="15">
        <f>B5-B6</f>
        <v/>
      </c>
      <c r="C7" s="15">
        <f>C5-C6</f>
        <v/>
      </c>
      <c r="D7" s="15">
        <f>D5-D6</f>
        <v/>
      </c>
    </row>
    <row r="8">
      <c r="A8" s="12" t="inlineStr">
        <is>
          <t>Margem de contribuição (%)</t>
        </is>
      </c>
      <c r="B8" s="16">
        <f>IF(B5=0,0,B7/B5)</f>
        <v/>
      </c>
      <c r="C8" s="16">
        <f>IF(C5=0,0,C7/C5)</f>
        <v/>
      </c>
      <c r="D8" s="16">
        <f>IF(D5=0,0,D7/D5)</f>
        <v/>
      </c>
    </row>
    <row r="10">
      <c r="A10" s="17" t="inlineStr">
        <is>
          <t>USO DA CAPTAÇÃO (R$ 750 mil)</t>
        </is>
      </c>
    </row>
    <row r="11">
      <c r="A11" s="3" t="inlineStr">
        <is>
          <t>Frente</t>
        </is>
      </c>
      <c r="B11" s="3" t="inlineStr">
        <is>
          <t>%</t>
        </is>
      </c>
      <c r="C11" s="3" t="inlineStr">
        <is>
          <t>Valor (R$)</t>
        </is>
      </c>
    </row>
    <row r="12">
      <c r="A12" s="4" t="inlineStr">
        <is>
          <t>Aquisição de audiência (40%)</t>
        </is>
      </c>
      <c r="B12" s="18" t="n">
        <v>0.4</v>
      </c>
      <c r="C12" s="15">
        <f>B12*Premissas!$B$11</f>
        <v/>
      </c>
    </row>
    <row r="13">
      <c r="A13" s="4" t="inlineStr">
        <is>
          <t>Monetização / comercial (25%)</t>
        </is>
      </c>
      <c r="B13" s="18" t="n">
        <v>0.25</v>
      </c>
      <c r="C13" s="15">
        <f>B13*Premissas!$B$11</f>
        <v/>
      </c>
    </row>
    <row r="14">
      <c r="A14" s="4" t="inlineStr">
        <is>
          <t>Time (20%)</t>
        </is>
      </c>
      <c r="B14" s="18" t="n">
        <v>0.2</v>
      </c>
      <c r="C14" s="15">
        <f>B14*Premissas!$B$11</f>
        <v/>
      </c>
    </row>
    <row r="15">
      <c r="A15" s="4" t="inlineStr">
        <is>
          <t>Produto e tecnologia (10%)</t>
        </is>
      </c>
      <c r="B15" s="18" t="n">
        <v>0.1</v>
      </c>
      <c r="C15" s="15">
        <f>B15*Premissas!$B$11</f>
        <v/>
      </c>
    </row>
    <row r="16">
      <c r="A16" s="4" t="inlineStr">
        <is>
          <t>Reserva / jurídico (5%)</t>
        </is>
      </c>
      <c r="B16" s="18" t="n">
        <v>0.05</v>
      </c>
      <c r="C16" s="15">
        <f>B16*Premissas!$B$11</f>
        <v/>
      </c>
    </row>
    <row r="17">
      <c r="A17" s="19" t="inlineStr">
        <is>
          <t>Total</t>
        </is>
      </c>
      <c r="B17" s="20">
        <f>SUM(B12:B16)</f>
        <v/>
      </c>
      <c r="C17" s="21">
        <f>SUM(C12:C16)</f>
        <v/>
      </c>
    </row>
    <row r="19">
      <c r="A19" s="2" t="inlineStr">
        <is>
          <t>Nota: cenário ilustrativo a partir da base real (jun/2026, ~125 usuários). Ajuste as premissas (azul) para rodar outros cenários.</t>
        </is>
      </c>
    </row>
  </sheetData>
  <mergeCells count="2">
    <mergeCell ref="A1:D1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2026-06-09T14:27:29Z</dcterms:created>
  <dcterms:modified xmlns:dcterms="http://purl.org/dc/terms/" xmlns:xsi="http://www.w3.org/2001/XMLSchema-instance" xsi:type="dcterms:W3CDTF">2026-06-09T14:27:29Z</dcterms:modified>
</cp:coreProperties>
</file>